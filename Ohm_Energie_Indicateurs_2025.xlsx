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 annuels" sheetId="1" state="visible" r:id="rId1"/>
    <sheet name="Par mois" sheetId="2" state="visible" r:id="rId2"/>
    <sheet name="Methodolog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Taux de retractation par mois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 mois'!L1</f>
            </strRef>
          </tx>
          <spPr>
            <a:ln>
              <a:prstDash val="solid"/>
            </a:ln>
          </spPr>
          <cat>
            <numRef>
              <f>'Par mois'!$K$2:$K$13</f>
            </numRef>
          </cat>
          <val>
            <numRef>
              <f>'Par mois'!$L$2:$L$13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Retractation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2" customWidth="1" min="4" max="4"/>
    <col width="55" customWidth="1" min="5" max="5"/>
  </cols>
  <sheetData>
    <row r="1" ht="22" customHeight="1">
      <c r="A1" s="1" t="inlineStr">
        <is>
          <t>Indicateur</t>
        </is>
      </c>
      <c r="B1" s="1" t="inlineStr">
        <is>
          <t>Taux (%)</t>
        </is>
      </c>
      <c r="C1" s="1" t="inlineStr">
        <is>
          <t>Numerateur</t>
        </is>
      </c>
      <c r="D1" s="1" t="inlineStr">
        <is>
          <t>Denominateur</t>
        </is>
      </c>
      <c r="E1" s="1" t="inlineStr">
        <is>
          <t>Definition</t>
        </is>
      </c>
    </row>
    <row r="2">
      <c r="A2" s="2" t="inlineStr">
        <is>
          <t>Taux de retractation</t>
        </is>
      </c>
      <c r="B2" s="3" t="n">
        <v>15.51</v>
      </c>
      <c r="C2" s="4" t="inlineStr">
        <is>
          <t>1748 annule</t>
        </is>
      </c>
      <c r="D2" s="4" t="inlineStr">
        <is>
          <t>11267 souscriptions</t>
        </is>
      </c>
      <c r="E2" s="4" t="inlineStr">
        <is>
          <t>annule / total souscriptions 2025</t>
        </is>
      </c>
    </row>
    <row r="3">
      <c r="A3" s="4" t="inlineStr">
        <is>
          <t>Churn M+1</t>
        </is>
      </c>
      <c r="B3" s="5" t="n">
        <v>7.17</v>
      </c>
      <c r="C3" s="4" t="inlineStr">
        <is>
          <t>608</t>
        </is>
      </c>
      <c r="D3" s="4" t="inlineStr">
        <is>
          <t>8482 base activee</t>
        </is>
      </c>
      <c r="E3" s="4" t="inlineStr">
        <is>
          <t>Taux global pondere: termine duree&lt;=30j / base hors annule &amp; PP1</t>
        </is>
      </c>
    </row>
    <row r="4">
      <c r="A4" s="4" t="inlineStr">
        <is>
          <t>Churn M+6</t>
        </is>
      </c>
      <c r="B4" s="5" t="n">
        <v>7.58</v>
      </c>
      <c r="C4" s="4" t="inlineStr">
        <is>
          <t>Moyenne M+1</t>
        </is>
      </c>
      <c r="D4" s="4" t="inlineStr">
        <is>
          <t>Janvier a Juin</t>
        </is>
      </c>
      <c r="E4" s="4" t="inlineStr">
        <is>
          <t>Moyenne arithmetique des 6 taux Churn M+1 mensuels</t>
        </is>
      </c>
    </row>
    <row r="5">
      <c r="A5" s="4" t="inlineStr">
        <is>
          <t>Churn M+12</t>
        </is>
      </c>
      <c r="B5" s="5" t="n">
        <v>7.07</v>
      </c>
      <c r="C5" s="4" t="inlineStr">
        <is>
          <t>Moyenne M+1</t>
        </is>
      </c>
      <c r="D5" s="4" t="inlineStr">
        <is>
          <t>Janvier a Decembre</t>
        </is>
      </c>
      <c r="E5" s="4" t="inlineStr">
        <is>
          <t>Moyenne arithmetique des 12 taux Churn M+1 mensuels</t>
        </is>
      </c>
    </row>
    <row r="6">
      <c r="A6" s="6" t="inlineStr">
        <is>
          <t>CHF</t>
        </is>
      </c>
      <c r="B6" s="7" t="n">
        <v>70.20999999999999</v>
      </c>
      <c r="C6" s="4" t="inlineStr">
        <is>
          <t>5955 switche</t>
        </is>
      </c>
      <c r="D6" s="4" t="inlineStr">
        <is>
          <t>8482 base activee</t>
        </is>
      </c>
      <c r="E6" s="4" t="inlineStr">
        <is>
          <t>switche / base activee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hidden="1" width="13" customWidth="1" min="11" max="11"/>
    <col hidden="1" width="13" customWidth="1" min="12" max="12"/>
  </cols>
  <sheetData>
    <row r="1">
      <c r="A1" s="8" t="inlineStr">
        <is>
          <t>Mois</t>
        </is>
      </c>
      <c r="B1" s="8" t="inlineStr">
        <is>
          <t>Libelle</t>
        </is>
      </c>
      <c r="C1" s="8" t="inlineStr">
        <is>
          <t>Souscriptions</t>
        </is>
      </c>
      <c r="D1" s="8" t="inlineStr">
        <is>
          <t>Annules</t>
        </is>
      </c>
      <c r="E1" s="8" t="inlineStr">
        <is>
          <t>Retractation (%)</t>
        </is>
      </c>
      <c r="F1" s="8" t="inlineStr">
        <is>
          <t>Base activee</t>
        </is>
      </c>
      <c r="G1" s="8" t="inlineStr">
        <is>
          <t>Termine</t>
        </is>
      </c>
      <c r="H1" s="8" t="inlineStr">
        <is>
          <t>Churn M+1 (%)</t>
        </is>
      </c>
      <c r="I1" s="8" t="inlineStr">
        <is>
          <t>CHF (%)</t>
        </is>
      </c>
      <c r="K1" t="inlineStr">
        <is>
          <t>Mois</t>
        </is>
      </c>
      <c r="L1" t="inlineStr">
        <is>
          <t>Retractation (%)</t>
        </is>
      </c>
    </row>
    <row r="2">
      <c r="A2" s="4" t="inlineStr">
        <is>
          <t>01-2025</t>
        </is>
      </c>
      <c r="B2" s="4" t="inlineStr">
        <is>
          <t>Janvier</t>
        </is>
      </c>
      <c r="C2" s="9" t="n">
        <v>1366</v>
      </c>
      <c r="D2" s="9" t="n">
        <v>228</v>
      </c>
      <c r="E2" s="9" t="n">
        <v>16.69</v>
      </c>
      <c r="F2" s="9" t="n">
        <v>1008</v>
      </c>
      <c r="G2" s="9" t="n">
        <v>62</v>
      </c>
      <c r="H2" s="9" t="n">
        <v>6.15</v>
      </c>
      <c r="I2" s="9" t="n">
        <v>58.53</v>
      </c>
      <c r="K2" t="inlineStr">
        <is>
          <t>Jan</t>
        </is>
      </c>
      <c r="L2" t="n">
        <v>16.69</v>
      </c>
    </row>
    <row r="3">
      <c r="A3" s="4" t="inlineStr">
        <is>
          <t>02-2025</t>
        </is>
      </c>
      <c r="B3" s="4" t="inlineStr">
        <is>
          <t>Fevrier</t>
        </is>
      </c>
      <c r="C3" s="9" t="n">
        <v>1129</v>
      </c>
      <c r="D3" s="9" t="n">
        <v>120</v>
      </c>
      <c r="E3" s="9" t="n">
        <v>10.63</v>
      </c>
      <c r="F3" s="9" t="n">
        <v>894</v>
      </c>
      <c r="G3" s="9" t="n">
        <v>76</v>
      </c>
      <c r="H3" s="9" t="n">
        <v>8.5</v>
      </c>
      <c r="I3" s="9" t="n">
        <v>66</v>
      </c>
      <c r="K3" t="inlineStr">
        <is>
          <t>Fev</t>
        </is>
      </c>
      <c r="L3" t="n">
        <v>10.63</v>
      </c>
    </row>
    <row r="4">
      <c r="A4" s="4" t="inlineStr">
        <is>
          <t>03-2025</t>
        </is>
      </c>
      <c r="B4" s="4" t="inlineStr">
        <is>
          <t>Mars</t>
        </is>
      </c>
      <c r="C4" s="9" t="n">
        <v>1115</v>
      </c>
      <c r="D4" s="9" t="n">
        <v>168</v>
      </c>
      <c r="E4" s="9" t="n">
        <v>15.07</v>
      </c>
      <c r="F4" s="9" t="n">
        <v>813</v>
      </c>
      <c r="G4" s="9" t="n">
        <v>45</v>
      </c>
      <c r="H4" s="9" t="n">
        <v>5.54</v>
      </c>
      <c r="I4" s="9" t="n">
        <v>71.95999999999999</v>
      </c>
      <c r="K4" t="inlineStr">
        <is>
          <t>Mar</t>
        </is>
      </c>
      <c r="L4" t="n">
        <v>15.07</v>
      </c>
    </row>
    <row r="5">
      <c r="A5" s="4" t="inlineStr">
        <is>
          <t>04-2025</t>
        </is>
      </c>
      <c r="B5" s="4" t="inlineStr">
        <is>
          <t>Avril</t>
        </is>
      </c>
      <c r="C5" s="9" t="n">
        <v>1121</v>
      </c>
      <c r="D5" s="9" t="n">
        <v>161</v>
      </c>
      <c r="E5" s="9" t="n">
        <v>14.36</v>
      </c>
      <c r="F5" s="9" t="n">
        <v>855</v>
      </c>
      <c r="G5" s="9" t="n">
        <v>69</v>
      </c>
      <c r="H5" s="9" t="n">
        <v>8.07</v>
      </c>
      <c r="I5" s="9" t="n">
        <v>68.19</v>
      </c>
      <c r="K5" t="inlineStr">
        <is>
          <t>Avr</t>
        </is>
      </c>
      <c r="L5" t="n">
        <v>14.36</v>
      </c>
    </row>
    <row r="6">
      <c r="A6" s="4" t="inlineStr">
        <is>
          <t>05-2025</t>
        </is>
      </c>
      <c r="B6" s="4" t="inlineStr">
        <is>
          <t>Mai</t>
        </is>
      </c>
      <c r="C6" s="9" t="n">
        <v>1023</v>
      </c>
      <c r="D6" s="9" t="n">
        <v>204</v>
      </c>
      <c r="E6" s="9" t="n">
        <v>19.94</v>
      </c>
      <c r="F6" s="9" t="n">
        <v>707</v>
      </c>
      <c r="G6" s="9" t="n">
        <v>56</v>
      </c>
      <c r="H6" s="9" t="n">
        <v>7.92</v>
      </c>
      <c r="I6" s="9" t="n">
        <v>68.88</v>
      </c>
      <c r="K6" t="inlineStr">
        <is>
          <t>Mai</t>
        </is>
      </c>
      <c r="L6" t="n">
        <v>19.94</v>
      </c>
    </row>
    <row r="7">
      <c r="A7" s="4" t="inlineStr">
        <is>
          <t>06-2025</t>
        </is>
      </c>
      <c r="B7" s="4" t="inlineStr">
        <is>
          <t>Juin</t>
        </is>
      </c>
      <c r="C7" s="9" t="n">
        <v>991</v>
      </c>
      <c r="D7" s="9" t="n">
        <v>181</v>
      </c>
      <c r="E7" s="9" t="n">
        <v>18.26</v>
      </c>
      <c r="F7" s="9" t="n">
        <v>711</v>
      </c>
      <c r="G7" s="9" t="n">
        <v>66</v>
      </c>
      <c r="H7" s="9" t="n">
        <v>9.279999999999999</v>
      </c>
      <c r="I7" s="9" t="n">
        <v>74.12</v>
      </c>
      <c r="K7" t="inlineStr">
        <is>
          <t>Juin</t>
        </is>
      </c>
      <c r="L7" t="n">
        <v>18.26</v>
      </c>
    </row>
    <row r="8">
      <c r="A8" s="4" t="inlineStr">
        <is>
          <t>07-2025</t>
        </is>
      </c>
      <c r="B8" s="4" t="inlineStr">
        <is>
          <t>Juillet</t>
        </is>
      </c>
      <c r="C8" s="9" t="n">
        <v>955</v>
      </c>
      <c r="D8" s="9" t="n">
        <v>153</v>
      </c>
      <c r="E8" s="9" t="n">
        <v>16.02</v>
      </c>
      <c r="F8" s="9" t="n">
        <v>714</v>
      </c>
      <c r="G8" s="9" t="n">
        <v>68</v>
      </c>
      <c r="H8" s="9" t="n">
        <v>9.52</v>
      </c>
      <c r="I8" s="9" t="n">
        <v>77.59</v>
      </c>
      <c r="K8" t="inlineStr">
        <is>
          <t>Juil</t>
        </is>
      </c>
      <c r="L8" t="n">
        <v>16.02</v>
      </c>
    </row>
    <row r="9">
      <c r="A9" s="4" t="inlineStr">
        <is>
          <t>08-2025</t>
        </is>
      </c>
      <c r="B9" s="4" t="inlineStr">
        <is>
          <t>Aout</t>
        </is>
      </c>
      <c r="C9" s="9" t="n">
        <v>526</v>
      </c>
      <c r="D9" s="9" t="n">
        <v>79</v>
      </c>
      <c r="E9" s="9" t="n">
        <v>15.02</v>
      </c>
      <c r="F9" s="9" t="n">
        <v>396</v>
      </c>
      <c r="G9" s="9" t="n">
        <v>26</v>
      </c>
      <c r="H9" s="9" t="n">
        <v>6.57</v>
      </c>
      <c r="I9" s="9" t="n">
        <v>85.34999999999999</v>
      </c>
      <c r="K9" t="inlineStr">
        <is>
          <t>Aout</t>
        </is>
      </c>
      <c r="L9" t="n">
        <v>15.02</v>
      </c>
    </row>
    <row r="10">
      <c r="A10" s="4" t="inlineStr">
        <is>
          <t>09-2025</t>
        </is>
      </c>
      <c r="B10" s="4" t="inlineStr">
        <is>
          <t>Septembre</t>
        </is>
      </c>
      <c r="C10" s="9" t="n">
        <v>702</v>
      </c>
      <c r="D10" s="9" t="n">
        <v>86</v>
      </c>
      <c r="E10" s="9" t="n">
        <v>12.25</v>
      </c>
      <c r="F10" s="9" t="n">
        <v>549</v>
      </c>
      <c r="G10" s="9" t="n">
        <v>57</v>
      </c>
      <c r="H10" s="9" t="n">
        <v>10.38</v>
      </c>
      <c r="I10" s="9" t="n">
        <v>80.51000000000001</v>
      </c>
      <c r="K10" t="inlineStr">
        <is>
          <t>Sep</t>
        </is>
      </c>
      <c r="L10" t="n">
        <v>12.25</v>
      </c>
    </row>
    <row r="11">
      <c r="A11" s="4" t="inlineStr">
        <is>
          <t>10-2025</t>
        </is>
      </c>
      <c r="B11" s="4" t="inlineStr">
        <is>
          <t>Octobre</t>
        </is>
      </c>
      <c r="C11" s="9" t="n">
        <v>924</v>
      </c>
      <c r="D11" s="9" t="n">
        <v>163</v>
      </c>
      <c r="E11" s="9" t="n">
        <v>17.64</v>
      </c>
      <c r="F11" s="9" t="n">
        <v>679</v>
      </c>
      <c r="G11" s="9" t="n">
        <v>60</v>
      </c>
      <c r="H11" s="9" t="n">
        <v>8.84</v>
      </c>
      <c r="I11" s="9" t="n">
        <v>84.39</v>
      </c>
      <c r="K11" t="inlineStr">
        <is>
          <t>Oct</t>
        </is>
      </c>
      <c r="L11" t="n">
        <v>17.64</v>
      </c>
    </row>
    <row r="12">
      <c r="A12" s="4" t="inlineStr">
        <is>
          <t>11-2025</t>
        </is>
      </c>
      <c r="B12" s="4" t="inlineStr">
        <is>
          <t>Novembre</t>
        </is>
      </c>
      <c r="C12" s="9" t="n">
        <v>728</v>
      </c>
      <c r="D12" s="9" t="n">
        <v>131</v>
      </c>
      <c r="E12" s="9" t="n">
        <v>17.99</v>
      </c>
      <c r="F12" s="9" t="n">
        <v>561</v>
      </c>
      <c r="G12" s="9" t="n">
        <v>20</v>
      </c>
      <c r="H12" s="9" t="n">
        <v>3.57</v>
      </c>
      <c r="I12" s="9" t="n">
        <v>84.67</v>
      </c>
      <c r="K12" t="inlineStr">
        <is>
          <t>Nov</t>
        </is>
      </c>
      <c r="L12" t="n">
        <v>17.99</v>
      </c>
    </row>
    <row r="13">
      <c r="A13" s="4" t="inlineStr">
        <is>
          <t>12-2025</t>
        </is>
      </c>
      <c r="B13" s="4" t="inlineStr">
        <is>
          <t>Decembre</t>
        </is>
      </c>
      <c r="C13" s="9" t="n">
        <v>687</v>
      </c>
      <c r="D13" s="9" t="n">
        <v>74</v>
      </c>
      <c r="E13" s="9" t="n">
        <v>10.77</v>
      </c>
      <c r="F13" s="9" t="n">
        <v>595</v>
      </c>
      <c r="G13" s="9" t="n">
        <v>3</v>
      </c>
      <c r="H13" s="9" t="n">
        <v>0.5</v>
      </c>
      <c r="I13" s="9" t="n">
        <v>35.46</v>
      </c>
      <c r="K13" t="inlineStr">
        <is>
          <t>Dec</t>
        </is>
      </c>
      <c r="L13" t="n">
        <v>10.77</v>
      </c>
    </row>
    <row r="14">
      <c r="A14" s="10" t="inlineStr">
        <is>
          <t>MOYENNE M+6</t>
        </is>
      </c>
      <c r="B14" s="10" t="inlineStr">
        <is>
          <t>Jan-Juin</t>
        </is>
      </c>
      <c r="C14" s="11" t="inlineStr"/>
      <c r="D14" s="11" t="inlineStr"/>
      <c r="E14" s="11" t="inlineStr"/>
      <c r="F14" s="11" t="inlineStr"/>
      <c r="G14" s="11" t="inlineStr"/>
      <c r="H14" s="11" t="n">
        <v>7.58</v>
      </c>
      <c r="I14" s="11" t="inlineStr"/>
    </row>
    <row r="15">
      <c r="A15" s="10" t="inlineStr">
        <is>
          <t>MOYENNE M+12</t>
        </is>
      </c>
      <c r="B15" s="10" t="inlineStr">
        <is>
          <t>Jan-Dec</t>
        </is>
      </c>
      <c r="C15" s="11" t="inlineStr"/>
      <c r="D15" s="11" t="inlineStr"/>
      <c r="E15" s="11" t="inlineStr"/>
      <c r="F15" s="11" t="inlineStr"/>
      <c r="G15" s="11" t="inlineStr"/>
      <c r="H15" s="11" t="n">
        <v>7.07</v>
      </c>
      <c r="I15" s="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8" t="inlineStr">
        <is>
          <t>Element</t>
        </is>
      </c>
      <c r="B1" s="8" t="inlineStr">
        <is>
          <t>Detail</t>
        </is>
      </c>
    </row>
    <row r="2">
      <c r="A2" t="inlineStr">
        <is>
          <t>Source</t>
        </is>
      </c>
      <c r="B2" t="inlineStr">
        <is>
          <t>Snapshot Decembre 2025 LEADCO - souscriptions contractsubscriptiondate annee 2025</t>
        </is>
      </c>
    </row>
    <row r="3">
      <c r="A3" t="inlineStr">
        <is>
          <t>Retractation</t>
        </is>
      </c>
      <c r="B3" t="inlineStr">
        <is>
          <t>statut = annule / total souscriptions du mois ou de l'annee</t>
        </is>
      </c>
    </row>
    <row r="4">
      <c r="A4" t="inlineStr">
        <is>
          <t>Churn M+1 mensuel</t>
        </is>
      </c>
      <c r="B4" t="inlineStr">
        <is>
          <t>termine avec (enddate - startdate) &lt;= 30 j / base hors annule &amp; PP1</t>
        </is>
      </c>
    </row>
    <row r="5">
      <c r="A5" t="inlineStr">
        <is>
          <t>Churn M+1 annuel</t>
        </is>
      </c>
      <c r="B5" t="inlineStr">
        <is>
          <t>Taux global pondere 2025 = 608 / 8482 = 7,17%</t>
        </is>
      </c>
    </row>
    <row r="6">
      <c r="A6" t="inlineStr">
        <is>
          <t>Churn M+6 annuel</t>
        </is>
      </c>
      <c r="B6" t="inlineStr">
        <is>
          <t>Moyenne des 6 taux M+1 janvier a juin = 7,58%</t>
        </is>
      </c>
    </row>
    <row r="7">
      <c r="A7" t="inlineStr">
        <is>
          <t>Churn M+12 annuel</t>
        </is>
      </c>
      <c r="B7" t="inlineStr">
        <is>
          <t>Moyenne des 12 taux M+1 janvier a decembre = 7,07%</t>
        </is>
      </c>
    </row>
    <row r="8">
      <c r="A8" t="inlineStr">
        <is>
          <t>CHF</t>
        </is>
      </c>
      <c r="B8" t="inlineStr">
        <is>
          <t>statut = switche / base activee (hors annule &amp; PP1)</t>
        </is>
      </c>
    </row>
    <row r="9">
      <c r="A9" t="inlineStr">
        <is>
          <t>Note Decembre</t>
        </is>
      </c>
      <c r="B9" t="inlineStr">
        <is>
          <t>Churn et CHF de decembre sous-estimes (contrats encore en attente)</t>
        </is>
      </c>
    </row>
    <row r="10">
      <c r="A10" t="inlineStr">
        <is>
          <t>Date calcul</t>
        </is>
      </c>
      <c r="B10" t="inlineStr">
        <is>
          <t>2026-07-09 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2026-07-09T16:58:37Z</dcterms:created>
  <dcterms:modified xsi:type="dcterms:W3CDTF">2026-07-09T16:58:37Z</dcterms:modified>
</cp:coreProperties>
</file>